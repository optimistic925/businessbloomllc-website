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y Finder" sheetId="1" state="visible" r:id="rId1"/>
  </sheets>
  <definedNames>
    <definedName name="_xlnm.Print_Area" localSheetId="0">'Opportunity Finder'!$A$1:$J$21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</font>
    <font>
      <color rgb="000000FF"/>
    </font>
    <font>
      <color rgb="00000000"/>
    </font>
    <font>
      <color rgb="00800080"/>
    </font>
    <font>
      <i val="1"/>
      <color rgb="006B7280"/>
    </font>
  </fonts>
  <fills count="9">
    <fill>
      <patternFill/>
    </fill>
    <fill>
      <patternFill patternType="gray125"/>
    </fill>
    <fill>
      <patternFill patternType="solid">
        <fgColor rgb="000B0F1A"/>
      </patternFill>
    </fill>
    <fill>
      <patternFill patternType="solid">
        <fgColor rgb="00F3F4F6"/>
      </patternFill>
    </fill>
    <fill>
      <patternFill patternType="solid">
        <fgColor rgb="0014B8A6"/>
      </patternFill>
    </fill>
    <fill>
      <patternFill patternType="solid">
        <fgColor rgb="00EFF6FF"/>
      </patternFill>
    </fill>
    <fill>
      <patternFill patternType="solid">
        <fgColor rgb="00F9FAFB"/>
      </patternFill>
    </fill>
    <fill>
      <patternFill patternType="solid">
        <fgColor rgb="007C3AED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7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2" fillId="4" borderId="0" applyAlignment="1" pivotButton="0" quotePrefix="0" xfId="0">
      <alignment horizontal="center" vertical="center" wrapText="1"/>
    </xf>
    <xf numFmtId="9" fontId="5" fillId="0" borderId="0" pivotButton="0" quotePrefix="0" xfId="0"/>
    <xf numFmtId="0" fontId="3" fillId="5" borderId="0" pivotButton="0" quotePrefix="0" xfId="0"/>
    <xf numFmtId="164" fontId="4" fillId="6" borderId="0" pivotButton="0" quotePrefix="0" xfId="0"/>
    <xf numFmtId="0" fontId="4" fillId="6" borderId="0" pivotButton="0" quotePrefix="0" xfId="0"/>
    <xf numFmtId="0" fontId="0" fillId="8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6" customWidth="1" min="8" max="8"/>
    <col width="16" customWidth="1" min="9" max="9"/>
    <col width="28" customWidth="1" min="10" max="10"/>
  </cols>
  <sheetData>
    <row r="1" ht="34" customHeight="1">
      <c r="A1" s="1" t="inlineStr">
        <is>
          <t>Business Bloom AI Automation Opportunity Finder™</t>
        </is>
      </c>
      <c r="L1" s="2" t="inlineStr">
        <is>
          <t>Control</t>
        </is>
      </c>
      <c r="M1" s="2" t="inlineStr">
        <is>
          <t>Value</t>
        </is>
      </c>
    </row>
    <row r="2">
      <c r="A2" s="3" t="inlineStr">
        <is>
          <t>Score repetitive work for automation potential while keeping human review, risk, and data readiness visible.</t>
        </is>
      </c>
    </row>
    <row r="3">
      <c r="L3" t="inlineStr">
        <is>
          <t>Weeks per month</t>
        </is>
      </c>
      <c r="M3" s="4" t="n">
        <v>4.33</v>
      </c>
    </row>
    <row r="4">
      <c r="L4" t="inlineStr">
        <is>
          <t>High-impact hours/month</t>
        </is>
      </c>
      <c r="M4" s="4" t="n">
        <v>8</v>
      </c>
    </row>
    <row r="5" ht="30" customHeight="1">
      <c r="A5" s="5" t="inlineStr">
        <is>
          <t>Task</t>
        </is>
      </c>
      <c r="B5" s="5" t="inlineStr">
        <is>
          <t>Minutes each</t>
        </is>
      </c>
      <c r="C5" s="5" t="inlineStr">
        <is>
          <t>Times / week</t>
        </is>
      </c>
      <c r="D5" s="5" t="inlineStr">
        <is>
          <t>Rule-based (1-5)</t>
        </is>
      </c>
      <c r="E5" s="5" t="inlineStr">
        <is>
          <t>Data ready (1-5)</t>
        </is>
      </c>
      <c r="F5" s="5" t="inlineStr">
        <is>
          <t>Risk (1-5)</t>
        </is>
      </c>
      <c r="G5" s="5" t="inlineStr">
        <is>
          <t>Hours / month</t>
        </is>
      </c>
      <c r="H5" s="5" t="inlineStr">
        <is>
          <t>Opportunity score</t>
        </is>
      </c>
      <c r="I5" s="5" t="inlineStr">
        <is>
          <t>Priority</t>
        </is>
      </c>
      <c r="J5" s="5" t="inlineStr">
        <is>
          <t>Notes</t>
        </is>
      </c>
      <c r="L5" t="inlineStr">
        <is>
          <t>Time impact weight</t>
        </is>
      </c>
      <c r="M5" s="6" t="n">
        <v>0.3</v>
      </c>
    </row>
    <row r="6">
      <c r="A6" s="7" t="n"/>
      <c r="B6" s="7" t="n"/>
      <c r="C6" s="7" t="n"/>
      <c r="D6" s="7" t="n"/>
      <c r="E6" s="7" t="n"/>
      <c r="F6" s="7" t="n"/>
      <c r="G6" s="8">
        <f>IFERROR(B6*C6*$M$3/60,0)</f>
        <v/>
      </c>
      <c r="H6" s="9">
        <f>IF(A6="","",ROUND((MIN(G6/$M$4,1)*$M$5 + D6/5*$M$6 + E6/5*$M$7 + (1-F6/5)*$M$8)*100,0))</f>
        <v/>
      </c>
      <c r="I6" s="9">
        <f>IF(H6="","",IF(H6&gt;=75,"High",IF(H6&gt;=55,"Medium","Low")))</f>
        <v/>
      </c>
      <c r="J6" s="7" t="n"/>
      <c r="L6" t="inlineStr">
        <is>
          <t>Rule-based weight</t>
        </is>
      </c>
      <c r="M6" s="6" t="n">
        <v>0.25</v>
      </c>
    </row>
    <row r="7">
      <c r="A7" s="7" t="n"/>
      <c r="B7" s="7" t="n"/>
      <c r="C7" s="7" t="n"/>
      <c r="D7" s="7" t="n"/>
      <c r="E7" s="7" t="n"/>
      <c r="F7" s="7" t="n"/>
      <c r="G7" s="8">
        <f>IFERROR(B7*C7*$M$3/60,0)</f>
        <v/>
      </c>
      <c r="H7" s="9">
        <f>IF(A7="","",ROUND((MIN(G7/$M$4,1)*$M$5 + D7/5*$M$6 + E7/5*$M$7 + (1-F7/5)*$M$8)*100,0))</f>
        <v/>
      </c>
      <c r="I7" s="9">
        <f>IF(H7="","",IF(H7&gt;=75,"High",IF(H7&gt;=55,"Medium","Low")))</f>
        <v/>
      </c>
      <c r="J7" s="7" t="n"/>
      <c r="L7" t="inlineStr">
        <is>
          <t>Data readiness weight</t>
        </is>
      </c>
      <c r="M7" s="6" t="n">
        <v>0.2</v>
      </c>
    </row>
    <row r="8">
      <c r="A8" s="7" t="n"/>
      <c r="B8" s="7" t="n"/>
      <c r="C8" s="7" t="n"/>
      <c r="D8" s="7" t="n"/>
      <c r="E8" s="7" t="n"/>
      <c r="F8" s="7" t="n"/>
      <c r="G8" s="8">
        <f>IFERROR(B8*C8*$M$3/60,0)</f>
        <v/>
      </c>
      <c r="H8" s="9">
        <f>IF(A8="","",ROUND((MIN(G8/$M$4,1)*$M$5 + D8/5*$M$6 + E8/5*$M$7 + (1-F8/5)*$M$8)*100,0))</f>
        <v/>
      </c>
      <c r="I8" s="9">
        <f>IF(H8="","",IF(H8&gt;=75,"High",IF(H8&gt;=55,"Medium","Low")))</f>
        <v/>
      </c>
      <c r="J8" s="7" t="n"/>
      <c r="L8" t="inlineStr">
        <is>
          <t>Low-risk weight</t>
        </is>
      </c>
      <c r="M8" s="6" t="n">
        <v>0.25</v>
      </c>
    </row>
    <row r="9">
      <c r="A9" s="7" t="n"/>
      <c r="B9" s="7" t="n"/>
      <c r="C9" s="7" t="n"/>
      <c r="D9" s="7" t="n"/>
      <c r="E9" s="7" t="n"/>
      <c r="F9" s="7" t="n"/>
      <c r="G9" s="8">
        <f>IFERROR(B9*C9*$M$3/60,0)</f>
        <v/>
      </c>
      <c r="H9" s="9">
        <f>IF(A9="","",ROUND((MIN(G9/$M$4,1)*$M$5 + D9/5*$M$6 + E9/5*$M$7 + (1-F9/5)*$M$8)*100,0))</f>
        <v/>
      </c>
      <c r="I9" s="9">
        <f>IF(H9="","",IF(H9&gt;=75,"High",IF(H9&gt;=55,"Medium","Low")))</f>
        <v/>
      </c>
      <c r="J9" s="7" t="n"/>
    </row>
    <row r="10">
      <c r="A10" s="7" t="n"/>
      <c r="B10" s="7" t="n"/>
      <c r="C10" s="7" t="n"/>
      <c r="D10" s="7" t="n"/>
      <c r="E10" s="7" t="n"/>
      <c r="F10" s="7" t="n"/>
      <c r="G10" s="8">
        <f>IFERROR(B10*C10*$M$3/60,0)</f>
        <v/>
      </c>
      <c r="H10" s="9">
        <f>IF(A10="","",ROUND((MIN(G10/$M$4,1)*$M$5 + D10/5*$M$6 + E10/5*$M$7 + (1-F10/5)*$M$8)*100,0))</f>
        <v/>
      </c>
      <c r="I10" s="9">
        <f>IF(H10="","",IF(H10&gt;=75,"High",IF(H10&gt;=55,"Medium","Low")))</f>
        <v/>
      </c>
      <c r="J10" s="7" t="n"/>
    </row>
    <row r="11">
      <c r="A11" s="7" t="n"/>
      <c r="B11" s="7" t="n"/>
      <c r="C11" s="7" t="n"/>
      <c r="D11" s="7" t="n"/>
      <c r="E11" s="7" t="n"/>
      <c r="F11" s="7" t="n"/>
      <c r="G11" s="8">
        <f>IFERROR(B11*C11*$M$3/60,0)</f>
        <v/>
      </c>
      <c r="H11" s="9">
        <f>IF(A11="","",ROUND((MIN(G11/$M$4,1)*$M$5 + D11/5*$M$6 + E11/5*$M$7 + (1-F11/5)*$M$8)*100,0))</f>
        <v/>
      </c>
      <c r="I11" s="9">
        <f>IF(H11="","",IF(H11&gt;=75,"High",IF(H11&gt;=55,"Medium","Low")))</f>
        <v/>
      </c>
      <c r="J11" s="7" t="n"/>
    </row>
    <row r="12">
      <c r="A12" s="7" t="n"/>
      <c r="B12" s="7" t="n"/>
      <c r="C12" s="7" t="n"/>
      <c r="D12" s="7" t="n"/>
      <c r="E12" s="7" t="n"/>
      <c r="F12" s="7" t="n"/>
      <c r="G12" s="8">
        <f>IFERROR(B12*C12*$M$3/60,0)</f>
        <v/>
      </c>
      <c r="H12" s="9">
        <f>IF(A12="","",ROUND((MIN(G12/$M$4,1)*$M$5 + D12/5*$M$6 + E12/5*$M$7 + (1-F12/5)*$M$8)*100,0))</f>
        <v/>
      </c>
      <c r="I12" s="9">
        <f>IF(H12="","",IF(H12&gt;=75,"High",IF(H12&gt;=55,"Medium","Low")))</f>
        <v/>
      </c>
      <c r="J12" s="7" t="n"/>
    </row>
    <row r="13">
      <c r="A13" s="7" t="n"/>
      <c r="B13" s="7" t="n"/>
      <c r="C13" s="7" t="n"/>
      <c r="D13" s="7" t="n"/>
      <c r="E13" s="7" t="n"/>
      <c r="F13" s="7" t="n"/>
      <c r="G13" s="8">
        <f>IFERROR(B13*C13*$M$3/60,0)</f>
        <v/>
      </c>
      <c r="H13" s="9">
        <f>IF(A13="","",ROUND((MIN(G13/$M$4,1)*$M$5 + D13/5*$M$6 + E13/5*$M$7 + (1-F13/5)*$M$8)*100,0))</f>
        <v/>
      </c>
      <c r="I13" s="9">
        <f>IF(H13="","",IF(H13&gt;=75,"High",IF(H13&gt;=55,"Medium","Low")))</f>
        <v/>
      </c>
      <c r="J13" s="7" t="n"/>
    </row>
    <row r="14">
      <c r="A14" s="7" t="n"/>
      <c r="B14" s="7" t="n"/>
      <c r="C14" s="7" t="n"/>
      <c r="D14" s="7" t="n"/>
      <c r="E14" s="7" t="n"/>
      <c r="F14" s="7" t="n"/>
      <c r="G14" s="8">
        <f>IFERROR(B14*C14*$M$3/60,0)</f>
        <v/>
      </c>
      <c r="H14" s="9">
        <f>IF(A14="","",ROUND((MIN(G14/$M$4,1)*$M$5 + D14/5*$M$6 + E14/5*$M$7 + (1-F14/5)*$M$8)*100,0))</f>
        <v/>
      </c>
      <c r="I14" s="9">
        <f>IF(H14="","",IF(H14&gt;=75,"High",IF(H14&gt;=55,"Medium","Low")))</f>
        <v/>
      </c>
      <c r="J14" s="7" t="n"/>
    </row>
    <row r="15">
      <c r="A15" s="7" t="n"/>
      <c r="B15" s="7" t="n"/>
      <c r="C15" s="7" t="n"/>
      <c r="D15" s="7" t="n"/>
      <c r="E15" s="7" t="n"/>
      <c r="F15" s="7" t="n"/>
      <c r="G15" s="8">
        <f>IFERROR(B15*C15*$M$3/60,0)</f>
        <v/>
      </c>
      <c r="H15" s="9">
        <f>IF(A15="","",ROUND((MIN(G15/$M$4,1)*$M$5 + D15/5*$M$6 + E15/5*$M$7 + (1-F15/5)*$M$8)*100,0))</f>
        <v/>
      </c>
      <c r="I15" s="9">
        <f>IF(H15="","",IF(H15&gt;=75,"High",IF(H15&gt;=55,"Medium","Low")))</f>
        <v/>
      </c>
      <c r="J15" s="7" t="n"/>
    </row>
    <row r="18">
      <c r="A18" s="10" t="inlineStr">
        <is>
          <t>Use the score to prioritize discovery, not to automate automatically. High-risk or sensitive workflows should retain human review and may require security, privacy, legal, HR, or professional review.</t>
        </is>
      </c>
    </row>
    <row r="19"/>
    <row r="21">
      <c r="A21" s="11" t="inlineStr">
        <is>
          <t>Related paid system: Business Bloom AI Automation Bundles™.</t>
        </is>
      </c>
    </row>
  </sheetData>
  <mergeCells count="4">
    <mergeCell ref="A18:J19"/>
    <mergeCell ref="A1:J1"/>
    <mergeCell ref="A2:J2"/>
    <mergeCell ref="A21:J21"/>
  </mergeCells>
  <dataValidations count="3">
    <dataValidation sqref="D6:D15" showDropDown="0" showInputMessage="0" showErrorMessage="0" allowBlank="1" type="whole" operator="between">
      <formula1>1</formula1>
      <formula2>5</formula2>
    </dataValidation>
    <dataValidation sqref="E6:E15" showDropDown="0" showInputMessage="0" showErrorMessage="0" allowBlank="1" type="whole" operator="between">
      <formula1>1</formula1>
      <formula2>5</formula2>
    </dataValidation>
    <dataValidation sqref="F6:F15" showDropDown="0" showInputMessage="0" showErrorMessage="0" allowBlank="1" type="whole" operator="between">
      <formula1>1</formula1>
      <formula2>5</formula2>
    </dataValidation>
  </dataValidations>
  <pageMargins left="0.25" right="0.25" top="0.4" bottom="0.4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2026-08-11T05:53:30Z</dcterms:created>
  <dcterms:modified xmlns:dcterms="http://purl.org/dc/terms/" xmlns:xsi="http://www.w3.org/2001/XMLSchema-instance" xsi:type="dcterms:W3CDTF">2026-08-11T05:54:38Z</dcterms:modified>
</cp:coreProperties>
</file>